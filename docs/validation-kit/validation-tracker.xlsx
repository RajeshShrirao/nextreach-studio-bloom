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tart" sheetId="1" r:id="rId1"/>
    <sheet name="Settings" sheetId="2" r:id="rId2"/>
    <sheet name="Leads" sheetId="3" r:id="rId3"/>
    <sheet name="Offers" sheetId="4" r:id="rId4"/>
    <sheet name="Time" sheetId="5" r:id="rId5"/>
    <sheet name="Cash" sheetId="6" r:id="rId6"/>
    <sheet name="Pilots" sheetId="7" r:id="rId7"/>
    <sheet name="Review" sheetId="8" r:id="rId8"/>
  </sheets>
  <calcPr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workbookViewId="0">
      <pane ySplit="1" topLeftCell="A2" activePane="bottomLeft" state="frozen"/>
    </sheetView>
  </sheetViews>
  <sheetFormatPr defaultRowHeight="15"/>
  <cols>
    <col min="1" max="1" width="25" customWidth="1"/>
    <col min="2" max="2" width="60" customWidth="1"/>
  </cols>
  <sheetData>
    <row r="1">
      <c r="A1" t="inlineStr" s="1">
        <is>
          <t>Topic</t>
        </is>
      </c>
      <c r="B1" t="inlineStr" s="1">
        <is>
          <t>Instruction</t>
        </is>
      </c>
    </row>
    <row r="2">
      <c r="A2" t="inlineStr">
        <is>
          <t>BLANK TEMPLATE</t>
        </is>
      </c>
      <c r="B2" t="inlineStr">
        <is>
          <t>Copy this file outside the repository before entering real prospect, client, payment or time records. Never commit the populated copy.</t>
        </is>
      </c>
    </row>
    <row r="3">
      <c r="A3" t="inlineStr">
        <is>
          <t>Purpose</t>
        </is>
      </c>
      <c r="B3" t="inlineStr">
        <is>
          <t>One 30-day acquisition batch and delivery/support for its first two paid Capability Website pilots. No research or sales have been performed.</t>
        </is>
      </c>
    </row>
    <row r="4">
      <c r="A4" t="inlineStr">
        <is>
          <t>Order</t>
        </is>
      </c>
      <c r="B4" t="inlineStr">
        <is>
          <t>Set dates in Settings; record discovery in Leads; standardized offers in Offers; actual effort in Time; receipts/refunds/costs in Cash; first two projects in Pilots; inspect Review.</t>
        </is>
      </c>
    </row>
    <row r="5">
      <c r="A5" t="inlineStr">
        <is>
          <t>Reserved IDs</t>
        </is>
      </c>
      <c r="B5" t="inlineStr">
        <is>
          <t>L01–L30, O01–O08 and P1/P2 are empty slots, not actual prospects or projects. One unique Lead ID per business.</t>
        </is>
      </c>
    </row>
    <row r="6">
      <c r="A6" t="inlineStr">
        <is>
          <t>Input convention</t>
        </is>
      </c>
      <c r="B6" t="inlineStr">
        <is>
          <t>Use Yes, No or Unknown for evidence fields. Blank means not recorded. Use real numbers for INR and decimal hours. Dates should be consistent, preferably YYYY-MM-DD.</t>
        </is>
      </c>
    </row>
    <row r="7">
      <c r="A7" t="inlineStr">
        <is>
          <t>Limits</t>
        </is>
      </c>
      <c r="B7" t="inlineStr">
        <is>
          <t>30 lead slots; eight distinct offer slots; two pilot slots. Time and Cash calculations include rows 2–501 only. Extend every affected formula before exceeding these ranges.</t>
        </is>
      </c>
    </row>
    <row r="8">
      <c r="A8" t="inlineStr">
        <is>
          <t>Settings</t>
        </is>
      </c>
      <c r="B8" t="inlineStr">
        <is>
          <t>Review dates are manual: ten working days for A, 30 calendar days for B. Account for local holidays. Set review-complete flags to Yes when you actually review the evidence.</t>
        </is>
      </c>
    </row>
    <row r="9">
      <c r="A9" t="inlineStr">
        <is>
          <t>Leads</t>
        </is>
      </c>
      <c r="B9" t="inlineStr">
        <is>
          <t>Record owner-level substantive conversations, a specific information problem, a concrete trigger within 90 days and feasible approved inputs. No problem or urgency is useful evidence too.</t>
        </is>
      </c>
    </row>
    <row r="10">
      <c r="A10" t="inlineStr">
        <is>
          <t>Offers</t>
        </is>
      </c>
      <c r="B10" t="inlineStr">
        <is>
          <t>Eligibility requires need, authority, timing and feasible inputs—not prior willingness to pay. Actual fee, unchanged scope, obligations explained and labelled example shown are required for the standardized test.</t>
        </is>
      </c>
    </row>
    <row r="11">
      <c r="A11" t="inlineStr">
        <is>
          <t>Formula cells</t>
        </is>
      </c>
      <c r="B11" t="inlineStr">
        <is>
          <t>Do not overwrite Offers J:L, Pilots I:R or Review B. Settings B4 is also calculated. Cells are not locked; there are no enforced dropdowns.</t>
        </is>
      </c>
    </row>
    <row r="12">
      <c r="A12" t="inlineStr">
        <is>
          <t>Time</t>
        </is>
      </c>
      <c r="B12" t="inlineStr">
        <is>
          <t>Columns: date; stage A/B/Delivery; Lead ID or POOL; category; decimal hours; private reference. Use exact category Prospecting for research/initial contact work.</t>
        </is>
      </c>
    </row>
    <row r="13">
      <c r="A13" t="inlineStr">
        <is>
          <t>Cash</t>
        </is>
      </c>
      <c r="B13" t="inlineStr">
        <is>
          <t>Use exact types Fee received, Fee refund or External cost. All amounts positive. Receipts/refunds use a Lead ID, never POOL. Costs may use POOL for shared work.</t>
        </is>
      </c>
    </row>
    <row r="14">
      <c r="A14" t="inlineStr">
        <is>
          <t>Tax boundary</t>
        </is>
      </c>
      <c r="B14" t="inlineStr">
        <is>
          <t>Record the service-fee portion only. Exclude taxes collected for remittance and client-paid pass-throughs. Keep statutory books separately; cash contribution is not accounting profit.</t>
        </is>
      </c>
    </row>
    <row r="15">
      <c r="A15" t="inlineStr">
        <is>
          <t>Allocation</t>
        </is>
      </c>
      <c r="B15" t="inlineStr">
        <is>
          <t>All batch hours/costs not direct to the populated pilots are shared equally across them. This includes unsuccessful selling and POOL entries. Do not add allocated amounts manually a second time.</t>
        </is>
      </c>
    </row>
    <row r="16">
      <c r="A16" t="inlineStr">
        <is>
          <t>Batch boundary</t>
        </is>
      </c>
      <c r="B16" t="inlineStr">
        <is>
          <t>Include all acquisition effort for this batch, but fulfilment only for the first two pilots. Exclude unrelated projects, other cohorts and the INR 5000 exception. Fix the acquisition pool at B review.</t>
        </is>
      </c>
    </row>
    <row r="17">
      <c r="A17" t="inlineStr">
        <is>
          <t>Support reserve</t>
        </is>
      </c>
      <c r="B17" t="inlineStr">
        <is>
          <t>Pilots H holds remaining estimated support hours only. Log actual support in Time and reduce the reserve. Enter numeric 0 only when no reserve remains.</t>
        </is>
      </c>
    </row>
    <row r="18">
      <c r="A18" t="inlineStr">
        <is>
          <t>Completion confirmation</t>
        </is>
      </c>
      <c r="B18" t="inlineStr">
        <is>
          <t>Pilots G=Yes confirms you checked IDs, dates, all payments/refunds, complete costs/hours, category spelling and allocation. An empty ledger is not proof of zero cost. Do not certify incomplete records.</t>
        </is>
      </c>
    </row>
    <row r="19">
      <c r="A19" t="inlineStr">
        <is>
          <t>Economics</t>
        </is>
      </c>
      <c r="B19" t="inlineStr">
        <is>
          <t>Final positive pilot status also requires client acceptance, enquiry receipt/handover checks, full fee collection, reconciled 30-day defect window, no remaining reserve, &lt;=20 all-in hours and &gt;=INR 800/hour cash contribution.</t>
        </is>
      </c>
    </row>
    <row r="20">
      <c r="A20" t="inlineStr">
        <is>
          <t>Manual review</t>
        </is>
      </c>
      <c r="B20" t="inlineStr">
        <is>
          <t>Inspect invalid/missing input and no-count offers before using Review. Indicators do not authorize scaling. Small samples are management guardrails, not statistical proof.</t>
        </is>
      </c>
    </row>
    <row r="21">
      <c r="A21" t="inlineStr">
        <is>
          <t>Recalculate</t>
        </is>
      </c>
      <c r="B21" t="inlineStr">
        <is>
          <t>Open in Excel or another compatible spreadsheet app and recalculate formulas before use. Some previews do not evaluate formulas.</t>
        </is>
      </c>
    </row>
    <row r="22">
      <c r="A22" t="inlineStr">
        <is>
          <t>Companion files</t>
        </is>
      </c>
      <c r="B22" t="inlineStr">
        <is>
          <t>owner-interview-guide.md explains the tests. capability-website-scope.md is the only buyer-facing asset. A labelled demonstration concept is not included in this kit.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Views>
    <sheetView workbookViewId="0">
      <pane ySplit="1" topLeftCell="A2" activePane="bottomLeft" state="frozen"/>
    </sheetView>
  </sheetViews>
  <sheetFormatPr defaultRowHeight="15"/>
  <cols>
    <col min="1" max="1" width="41" customWidth="1"/>
    <col min="2" max="2" width="14" customWidth="1"/>
    <col min="3" max="3" width="60" customWidth="1"/>
  </cols>
  <sheetData>
    <row r="1">
      <c r="A1" t="inlineStr" s="1">
        <is>
          <t>Parameter</t>
        </is>
      </c>
      <c r="B1" t="inlineStr" s="1">
        <is>
          <t>Value</t>
        </is>
      </c>
      <c r="C1" t="inlineStr" s="1">
        <is>
          <t>Meaning</t>
        </is>
      </c>
    </row>
    <row r="2">
      <c r="A2" t="inlineStr">
        <is>
          <t>Pilot service fee INR</t>
        </is>
      </c>
      <c r="B2">
        <v>18000</v>
      </c>
      <c r="C2" t="inlineStr">
        <is>
          <t>Service fee before any applicable taxes; chosen test price, not a measured market rate.</t>
        </is>
      </c>
    </row>
    <row r="3">
      <c r="A3" t="inlineStr">
        <is>
          <t>Deposit fraction</t>
        </is>
      </c>
      <c r="B3">
        <v>0.5</v>
      </c>
      <c r="C3" t="inlineStr">
        <is>
          <t>50% of service fee.</t>
        </is>
      </c>
    </row>
    <row r="4">
      <c r="A4" t="inlineStr">
        <is>
          <t>Required deposit INR</t>
        </is>
      </c>
      <c r="B4">
        <f>B2*B3</f>
      </c>
      <c r="C4" t="inlineStr">
        <is>
          <t>Net fee received, excluding taxes/pass-throughs.</t>
        </is>
      </c>
    </row>
    <row r="5">
      <c r="A5" t="inlineStr">
        <is>
          <t>Target shop limit</t>
        </is>
      </c>
      <c r="B5">
        <v>30</v>
      </c>
      <c r="C5" t="inlineStr">
        <is>
          <t>Up to 30 named shops for access test.</t>
        </is>
      </c>
    </row>
    <row r="6">
      <c r="A6" t="inlineStr">
        <is>
          <t>Owner conversation target</t>
        </is>
      </c>
      <c r="B6">
        <v>6</v>
      </c>
      <c r="C6" t="inlineStr">
        <is>
          <t>Substantive conversations with distinct owners/approvers.</t>
        </is>
      </c>
    </row>
    <row r="7">
      <c r="A7" t="inlineStr">
        <is>
          <t>Problem plus trigger target</t>
        </is>
      </c>
      <c r="B7">
        <v>3</v>
      </c>
      <c r="C7" t="inlineStr">
        <is>
          <t>Must have both a concrete problem and an active trigger.</t>
        </is>
      </c>
    </row>
    <row r="8">
      <c r="A8" t="inlineStr">
        <is>
          <t>Eligible offer target</t>
        </is>
      </c>
      <c r="B8">
        <v>8</v>
      </c>
      <c r="C8" t="inlineStr">
        <is>
          <t>Distinct businesses shown unchanged scope and labelled example.</t>
        </is>
      </c>
    </row>
    <row r="9">
      <c r="A9" t="inlineStr">
        <is>
          <t>Qualifying deposit target</t>
        </is>
      </c>
      <c r="B9">
        <v>2</v>
      </c>
      <c r="C9" t="inlineStr">
        <is>
          <t>Net receipts of at least required deposit; no scope/price concessions.</t>
        </is>
      </c>
    </row>
    <row r="10">
      <c r="A10" t="inlineStr">
        <is>
          <t>A prospecting hour cap</t>
        </is>
      </c>
      <c r="B10">
        <v>10</v>
      </c>
      <c r="C10" t="inlineStr">
        <is>
          <t>Research/initial-contact effort logged as stage A, category Prospecting.</t>
        </is>
      </c>
    </row>
    <row r="11">
      <c r="A11" t="inlineStr">
        <is>
          <t>Pilot all-in hour cap</t>
        </is>
      </c>
      <c r="B11">
        <v>20</v>
      </c>
      <c r="C11" t="inlineStr">
        <is>
          <t>Includes direct work, shared/unsuccessful sales and remaining support reserve.</t>
        </is>
      </c>
    </row>
    <row r="12">
      <c r="A12" t="inlineStr">
        <is>
          <t>Contribution floor INR/hour</t>
        </is>
      </c>
      <c r="B12">
        <v>800</v>
      </c>
      <c r="C12" t="inlineStr">
        <is>
          <t>Cash contribution before founder pay and overhead; provisional guardrail.</t>
        </is>
      </c>
    </row>
    <row r="13">
      <c r="A13" t="inlineStr">
        <is>
          <t>Illustrative founder allowance INR/hour</t>
        </is>
      </c>
      <c r="B13">
        <v>500</v>
      </c>
      <c r="C13" t="inlineStr">
        <is>
          <t>For planning only; not an actual wage expense or net profit calculation.</t>
        </is>
      </c>
    </row>
    <row r="14">
      <c r="A14" t="inlineStr">
        <is>
          <t>A review complete?</t>
        </is>
      </c>
      <c r="C14" t="inlineStr">
        <is>
          <t>Enter Yes only when the access-test review has taken place.</t>
        </is>
      </c>
    </row>
    <row r="15">
      <c r="A15" t="inlineStr">
        <is>
          <t>B review complete?</t>
        </is>
      </c>
      <c r="C15" t="inlineStr">
        <is>
          <t>Enter Yes only when the 30-day sales review has taken place.</t>
        </is>
      </c>
    </row>
    <row r="16">
      <c r="A16" t="inlineStr">
        <is>
          <t>Batch start date</t>
        </is>
      </c>
      <c r="C16" t="inlineStr">
        <is>
          <t>Set before prospecting; no experiment is started by creating this file.</t>
        </is>
      </c>
    </row>
    <row r="17">
      <c r="A17" t="inlineStr">
        <is>
          <t>A review date</t>
        </is>
      </c>
      <c r="C17" t="inlineStr">
        <is>
          <t>Ten working days from the chosen start; account for local holidays manually.</t>
        </is>
      </c>
    </row>
    <row r="18">
      <c r="A18" t="inlineStr">
        <is>
          <t>B review date</t>
        </is>
      </c>
      <c r="C18" t="inlineStr">
        <is>
          <t>30 calendar days from the chosen start.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31"/>
  <sheetViews>
    <sheetView workbookViewId="0">
      <pane ySplit="1" topLeftCell="A2" activePane="bottomLeft" state="frozen"/>
    </sheetView>
  </sheetViews>
  <sheetFormatPr defaultRowHeight="15"/>
  <cols>
    <col min="1" max="1" width="9" customWidth="1"/>
    <col min="2" max="2" width="25" customWidth="1"/>
    <col min="3" max="3" width="10" customWidth="1"/>
    <col min="4" max="4" width="28" customWidth="1"/>
    <col min="5" max="5" width="20" customWidth="1"/>
    <col min="6" max="6" width="25" customWidth="1"/>
    <col min="7" max="7" width="25" customWidth="1"/>
    <col min="8" max="8" width="27" customWidth="1"/>
    <col min="9" max="9" width="31" customWidth="1"/>
    <col min="10" max="10" width="27" customWidth="1"/>
    <col min="11" max="11" width="32" customWidth="1"/>
    <col min="12" max="12" width="30" customWidth="1"/>
    <col min="13" max="13" width="27" customWidth="1"/>
    <col min="14" max="14" width="32" customWidth="1"/>
    <col min="15" max="15" width="22" customWidth="1"/>
    <col min="16" max="16" width="25" customWidth="1"/>
  </cols>
  <sheetData>
    <row r="1">
      <c r="A1" t="inlineStr" s="1">
        <is>
          <t>Lead ID</t>
        </is>
      </c>
      <c r="B1" t="inlineStr" s="1">
        <is>
          <t>Business name (private)</t>
        </is>
      </c>
      <c r="C1" t="inlineStr" s="1">
        <is>
          <t>Locality</t>
        </is>
      </c>
      <c r="D1" t="inlineStr" s="1">
        <is>
          <t>Source / private reference</t>
        </is>
      </c>
      <c r="E1" t="inlineStr" s="1">
        <is>
          <t>First contact date</t>
        </is>
      </c>
      <c r="F1" t="inlineStr" s="1">
        <is>
          <t>Owner conversation date</t>
        </is>
      </c>
      <c r="G1" t="inlineStr" s="1">
        <is>
          <t>Owner / approver spoke?</t>
        </is>
      </c>
      <c r="H1" t="inlineStr" s="1">
        <is>
          <t>Substantive conversation?</t>
        </is>
      </c>
      <c r="I1" t="inlineStr" s="1">
        <is>
          <t>Concrete information problem?</t>
        </is>
      </c>
      <c r="J1" t="inlineStr" s="1">
        <is>
          <t>Specific problem evidence</t>
        </is>
      </c>
      <c r="K1" t="inlineStr" s="1">
        <is>
          <t>Active trigger within 90 days?</t>
        </is>
      </c>
      <c r="L1" t="inlineStr" s="1">
        <is>
          <t>Trigger and approximate date</t>
        </is>
      </c>
      <c r="M1" t="inlineStr" s="1">
        <is>
          <t>Feasible approved inputs?</t>
        </is>
      </c>
      <c r="N1" t="inlineStr" s="1">
        <is>
          <t>Contact / follow-up permission</t>
        </is>
      </c>
      <c r="O1" t="inlineStr" s="1">
        <is>
          <t>Next action and date</t>
        </is>
      </c>
      <c r="P1" t="inlineStr" s="1">
        <is>
          <t>No-fit / refusal reason</t>
        </is>
      </c>
    </row>
    <row r="2">
      <c r="A2" t="inlineStr">
        <is>
          <t>L01</t>
        </is>
      </c>
    </row>
    <row r="3">
      <c r="A3" t="inlineStr">
        <is>
          <t>L02</t>
        </is>
      </c>
    </row>
    <row r="4">
      <c r="A4" t="inlineStr">
        <is>
          <t>L03</t>
        </is>
      </c>
    </row>
    <row r="5">
      <c r="A5" t="inlineStr">
        <is>
          <t>L04</t>
        </is>
      </c>
    </row>
    <row r="6">
      <c r="A6" t="inlineStr">
        <is>
          <t>L05</t>
        </is>
      </c>
    </row>
    <row r="7">
      <c r="A7" t="inlineStr">
        <is>
          <t>L06</t>
        </is>
      </c>
    </row>
    <row r="8">
      <c r="A8" t="inlineStr">
        <is>
          <t>L07</t>
        </is>
      </c>
    </row>
    <row r="9">
      <c r="A9" t="inlineStr">
        <is>
          <t>L08</t>
        </is>
      </c>
    </row>
    <row r="10">
      <c r="A10" t="inlineStr">
        <is>
          <t>L09</t>
        </is>
      </c>
    </row>
    <row r="11">
      <c r="A11" t="inlineStr">
        <is>
          <t>L10</t>
        </is>
      </c>
    </row>
    <row r="12">
      <c r="A12" t="inlineStr">
        <is>
          <t>L11</t>
        </is>
      </c>
    </row>
    <row r="13">
      <c r="A13" t="inlineStr">
        <is>
          <t>L12</t>
        </is>
      </c>
    </row>
    <row r="14">
      <c r="A14" t="inlineStr">
        <is>
          <t>L13</t>
        </is>
      </c>
    </row>
    <row r="15">
      <c r="A15" t="inlineStr">
        <is>
          <t>L14</t>
        </is>
      </c>
    </row>
    <row r="16">
      <c r="A16" t="inlineStr">
        <is>
          <t>L15</t>
        </is>
      </c>
    </row>
    <row r="17">
      <c r="A17" t="inlineStr">
        <is>
          <t>L16</t>
        </is>
      </c>
    </row>
    <row r="18">
      <c r="A18" t="inlineStr">
        <is>
          <t>L17</t>
        </is>
      </c>
    </row>
    <row r="19">
      <c r="A19" t="inlineStr">
        <is>
          <t>L18</t>
        </is>
      </c>
    </row>
    <row r="20">
      <c r="A20" t="inlineStr">
        <is>
          <t>L19</t>
        </is>
      </c>
    </row>
    <row r="21">
      <c r="A21" t="inlineStr">
        <is>
          <t>L20</t>
        </is>
      </c>
    </row>
    <row r="22">
      <c r="A22" t="inlineStr">
        <is>
          <t>L21</t>
        </is>
      </c>
    </row>
    <row r="23">
      <c r="A23" t="inlineStr">
        <is>
          <t>L22</t>
        </is>
      </c>
    </row>
    <row r="24">
      <c r="A24" t="inlineStr">
        <is>
          <t>L23</t>
        </is>
      </c>
    </row>
    <row r="25">
      <c r="A25" t="inlineStr">
        <is>
          <t>L24</t>
        </is>
      </c>
    </row>
    <row r="26">
      <c r="A26" t="inlineStr">
        <is>
          <t>L25</t>
        </is>
      </c>
    </row>
    <row r="27">
      <c r="A27" t="inlineStr">
        <is>
          <t>L26</t>
        </is>
      </c>
    </row>
    <row r="28">
      <c r="A28" t="inlineStr">
        <is>
          <t>L27</t>
        </is>
      </c>
    </row>
    <row r="29">
      <c r="A29" t="inlineStr">
        <is>
          <t>L28</t>
        </is>
      </c>
    </row>
    <row r="30">
      <c r="A30" t="inlineStr">
        <is>
          <t>L29</t>
        </is>
      </c>
    </row>
    <row r="31">
      <c r="A31" t="inlineStr">
        <is>
          <t>L30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9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9" customWidth="1"/>
    <col min="3" max="3" width="16" customWidth="1"/>
    <col min="4" max="4" width="56" customWidth="1"/>
    <col min="5" max="5" width="24" customWidth="1"/>
    <col min="6" max="6" width="30" customWidth="1"/>
    <col min="7" max="7" width="44" customWidth="1"/>
    <col min="8" max="8" width="25" customWidth="1"/>
    <col min="9" max="9" width="45" customWidth="1"/>
    <col min="10" max="10" width="32" customWidth="1"/>
    <col min="11" max="11" width="40" customWidth="1"/>
    <col min="12" max="12" width="34" customWidth="1"/>
  </cols>
  <sheetData>
    <row r="1">
      <c r="A1" t="inlineStr" s="1">
        <is>
          <t>Offer ID</t>
        </is>
      </c>
      <c r="B1" t="inlineStr" s="1">
        <is>
          <t>Lead ID</t>
        </is>
      </c>
      <c r="C1" t="inlineStr" s="1">
        <is>
          <t>Date presented</t>
        </is>
      </c>
      <c r="D1" t="inlineStr" s="1">
        <is>
          <t>Eligible with documented need/authority/timing/inputs?</t>
        </is>
      </c>
      <c r="E1" t="inlineStr" s="1">
        <is>
          <t>Actual service fee INR</t>
        </is>
      </c>
      <c r="F1" t="inlineStr" s="1">
        <is>
          <t>Same scope / no concessions?</t>
        </is>
      </c>
      <c r="G1" t="inlineStr" s="1">
        <is>
          <t>Tax and third-party obligations explained?</t>
        </is>
      </c>
      <c r="H1" t="inlineStr" s="1">
        <is>
          <t>Labelled example shown?</t>
        </is>
      </c>
      <c r="I1" t="inlineStr" s="1">
        <is>
          <t>Objection / next action / private reference</t>
        </is>
      </c>
      <c r="J1" t="inlineStr" s="1">
        <is>
          <t>Net fee received INR (formula)</t>
        </is>
      </c>
      <c r="K1" t="inlineStr" s="1">
        <is>
          <t>Counts as standardized offer (formula)</t>
        </is>
      </c>
      <c r="L1" t="inlineStr" s="1">
        <is>
          <t>Qualifying deposit 1/0 (formula)</t>
        </is>
      </c>
    </row>
    <row r="2">
      <c r="A2" t="inlineStr">
        <is>
          <t>O01</t>
        </is>
      </c>
      <c r="J2">
        <f>IF(B2="","",SUMIFS(Cash!$D$2:$D$501,Cash!$B$2:$B$501,B2,Cash!$C$2:$C$501,"Fee received")-SUMIFS(Cash!$D$2:$D$501,Cash!$B$2:$B$501,B2,Cash!$C$2:$C$501,"Fee refund"))</f>
      </c>
      <c r="K2">
        <f>IF(B2="","",IF(AND(COUNTIF($B$2:$B$9,B2)=1,COUNTIFS(Leads!$A$2:$A$31,B2,Leads!$B$2:$B$31,"&lt;&gt;")=1,C2&lt;&gt;"",D2="Yes",E2=Settings!$B$2,F2="Yes",G2="Yes",H2="Yes"),1,0))</f>
      </c>
      <c r="L2">
        <f>IF(B2="","",IF(AND(K2=1,J2&gt;=Settings!$B$4),1,0))</f>
      </c>
    </row>
    <row r="3">
      <c r="A3" t="inlineStr">
        <is>
          <t>O02</t>
        </is>
      </c>
      <c r="J3">
        <f>IF(B3="","",SUMIFS(Cash!$D$2:$D$501,Cash!$B$2:$B$501,B3,Cash!$C$2:$C$501,"Fee received")-SUMIFS(Cash!$D$2:$D$501,Cash!$B$2:$B$501,B3,Cash!$C$2:$C$501,"Fee refund"))</f>
      </c>
      <c r="K3">
        <f>IF(B3="","",IF(AND(COUNTIF($B$2:$B$9,B3)=1,COUNTIFS(Leads!$A$2:$A$31,B3,Leads!$B$2:$B$31,"&lt;&gt;")=1,C3&lt;&gt;"",D3="Yes",E3=Settings!$B$2,F3="Yes",G3="Yes",H3="Yes"),1,0))</f>
      </c>
      <c r="L3">
        <f>IF(B3="","",IF(AND(K3=1,J3&gt;=Settings!$B$4),1,0))</f>
      </c>
    </row>
    <row r="4">
      <c r="A4" t="inlineStr">
        <is>
          <t>O03</t>
        </is>
      </c>
      <c r="J4">
        <f>IF(B4="","",SUMIFS(Cash!$D$2:$D$501,Cash!$B$2:$B$501,B4,Cash!$C$2:$C$501,"Fee received")-SUMIFS(Cash!$D$2:$D$501,Cash!$B$2:$B$501,B4,Cash!$C$2:$C$501,"Fee refund"))</f>
      </c>
      <c r="K4">
        <f>IF(B4="","",IF(AND(COUNTIF($B$2:$B$9,B4)=1,COUNTIFS(Leads!$A$2:$A$31,B4,Leads!$B$2:$B$31,"&lt;&gt;")=1,C4&lt;&gt;"",D4="Yes",E4=Settings!$B$2,F4="Yes",G4="Yes",H4="Yes"),1,0))</f>
      </c>
      <c r="L4">
        <f>IF(B4="","",IF(AND(K4=1,J4&gt;=Settings!$B$4),1,0))</f>
      </c>
    </row>
    <row r="5">
      <c r="A5" t="inlineStr">
        <is>
          <t>O04</t>
        </is>
      </c>
      <c r="J5">
        <f>IF(B5="","",SUMIFS(Cash!$D$2:$D$501,Cash!$B$2:$B$501,B5,Cash!$C$2:$C$501,"Fee received")-SUMIFS(Cash!$D$2:$D$501,Cash!$B$2:$B$501,B5,Cash!$C$2:$C$501,"Fee refund"))</f>
      </c>
      <c r="K5">
        <f>IF(B5="","",IF(AND(COUNTIF($B$2:$B$9,B5)=1,COUNTIFS(Leads!$A$2:$A$31,B5,Leads!$B$2:$B$31,"&lt;&gt;")=1,C5&lt;&gt;"",D5="Yes",E5=Settings!$B$2,F5="Yes",G5="Yes",H5="Yes"),1,0))</f>
      </c>
      <c r="L5">
        <f>IF(B5="","",IF(AND(K5=1,J5&gt;=Settings!$B$4),1,0))</f>
      </c>
    </row>
    <row r="6">
      <c r="A6" t="inlineStr">
        <is>
          <t>O05</t>
        </is>
      </c>
      <c r="J6">
        <f>IF(B6="","",SUMIFS(Cash!$D$2:$D$501,Cash!$B$2:$B$501,B6,Cash!$C$2:$C$501,"Fee received")-SUMIFS(Cash!$D$2:$D$501,Cash!$B$2:$B$501,B6,Cash!$C$2:$C$501,"Fee refund"))</f>
      </c>
      <c r="K6">
        <f>IF(B6="","",IF(AND(COUNTIF($B$2:$B$9,B6)=1,COUNTIFS(Leads!$A$2:$A$31,B6,Leads!$B$2:$B$31,"&lt;&gt;")=1,C6&lt;&gt;"",D6="Yes",E6=Settings!$B$2,F6="Yes",G6="Yes",H6="Yes"),1,0))</f>
      </c>
      <c r="L6">
        <f>IF(B6="","",IF(AND(K6=1,J6&gt;=Settings!$B$4),1,0))</f>
      </c>
    </row>
    <row r="7">
      <c r="A7" t="inlineStr">
        <is>
          <t>O06</t>
        </is>
      </c>
      <c r="J7">
        <f>IF(B7="","",SUMIFS(Cash!$D$2:$D$501,Cash!$B$2:$B$501,B7,Cash!$C$2:$C$501,"Fee received")-SUMIFS(Cash!$D$2:$D$501,Cash!$B$2:$B$501,B7,Cash!$C$2:$C$501,"Fee refund"))</f>
      </c>
      <c r="K7">
        <f>IF(B7="","",IF(AND(COUNTIF($B$2:$B$9,B7)=1,COUNTIFS(Leads!$A$2:$A$31,B7,Leads!$B$2:$B$31,"&lt;&gt;")=1,C7&lt;&gt;"",D7="Yes",E7=Settings!$B$2,F7="Yes",G7="Yes",H7="Yes"),1,0))</f>
      </c>
      <c r="L7">
        <f>IF(B7="","",IF(AND(K7=1,J7&gt;=Settings!$B$4),1,0))</f>
      </c>
    </row>
    <row r="8">
      <c r="A8" t="inlineStr">
        <is>
          <t>O07</t>
        </is>
      </c>
      <c r="J8">
        <f>IF(B8="","",SUMIFS(Cash!$D$2:$D$501,Cash!$B$2:$B$501,B8,Cash!$C$2:$C$501,"Fee received")-SUMIFS(Cash!$D$2:$D$501,Cash!$B$2:$B$501,B8,Cash!$C$2:$C$501,"Fee refund"))</f>
      </c>
      <c r="K8">
        <f>IF(B8="","",IF(AND(COUNTIF($B$2:$B$9,B8)=1,COUNTIFS(Leads!$A$2:$A$31,B8,Leads!$B$2:$B$31,"&lt;&gt;")=1,C8&lt;&gt;"",D8="Yes",E8=Settings!$B$2,F8="Yes",G8="Yes",H8="Yes"),1,0))</f>
      </c>
      <c r="L8">
        <f>IF(B8="","",IF(AND(K8=1,J8&gt;=Settings!$B$4),1,0))</f>
      </c>
    </row>
    <row r="9">
      <c r="A9" t="inlineStr">
        <is>
          <t>O08</t>
        </is>
      </c>
      <c r="J9">
        <f>IF(B9="","",SUMIFS(Cash!$D$2:$D$501,Cash!$B$2:$B$501,B9,Cash!$C$2:$C$501,"Fee received")-SUMIFS(Cash!$D$2:$D$501,Cash!$B$2:$B$501,B9,Cash!$C$2:$C$501,"Fee refund"))</f>
      </c>
      <c r="K9">
        <f>IF(B9="","",IF(AND(COUNTIF($B$2:$B$9,B9)=1,COUNTIFS(Leads!$A$2:$A$31,B9,Leads!$B$2:$B$31,"&lt;&gt;")=1,C9&lt;&gt;"",D9="Yes",E9=Settings!$B$2,F9="Yes",G9="Yes",H9="Yes"),1,0))</f>
      </c>
      <c r="L9">
        <f>IF(B9="","",IF(AND(K9=1,J9&gt;=Settings!$B$4),1,0))</f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8" customWidth="1"/>
    <col min="2" max="2" width="25" customWidth="1"/>
    <col min="3" max="3" width="17" customWidth="1"/>
    <col min="4" max="4" width="10" customWidth="1"/>
    <col min="5" max="5" width="17" customWidth="1"/>
    <col min="6" max="6" width="26" customWidth="1"/>
  </cols>
  <sheetData>
    <row r="1">
      <c r="A1" t="inlineStr" s="1">
        <is>
          <t>Date</t>
        </is>
      </c>
      <c r="B1" t="inlineStr" s="1">
        <is>
          <t>Stage: A / B / Delivery</t>
        </is>
      </c>
      <c r="C1" t="inlineStr" s="1">
        <is>
          <t>Lead ID or POOL</t>
        </is>
      </c>
      <c r="D1" t="inlineStr" s="1">
        <is>
          <t>Category</t>
        </is>
      </c>
      <c r="E1" t="inlineStr" s="1">
        <is>
          <t>Hours (decimal)</t>
        </is>
      </c>
      <c r="F1" t="inlineStr" s="1">
        <is>
          <t>Private reference / note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8" customWidth="1"/>
    <col min="2" max="2" width="17" customWidth="1"/>
    <col min="3" max="3" width="49" customWidth="1"/>
    <col min="4" max="4" width="23" customWidth="1"/>
    <col min="5" max="5" width="38" customWidth="1"/>
    <col min="6" max="6" width="33" customWidth="1"/>
  </cols>
  <sheetData>
    <row r="1">
      <c r="A1" t="inlineStr" s="1">
        <is>
          <t>Date</t>
        </is>
      </c>
      <c r="B1" t="inlineStr" s="1">
        <is>
          <t>Lead ID or POOL</t>
        </is>
      </c>
      <c r="C1" t="inlineStr" s="1">
        <is>
          <t>Type: Fee received / Fee refund / External cost</t>
        </is>
      </c>
      <c r="D1" t="inlineStr" s="1">
        <is>
          <t>Amount INR (positive)</t>
        </is>
      </c>
      <c r="E1" t="inlineStr" s="1">
        <is>
          <t>Private receipt / evidence reference</t>
        </is>
      </c>
      <c r="F1" t="inlineStr" s="1">
        <is>
          <t>Note (service-fee portion only)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9" customWidth="1"/>
    <col min="3" max="3" width="24" customWidth="1"/>
    <col min="4" max="4" width="18" customWidth="1"/>
    <col min="5" max="5" width="39" customWidth="1"/>
    <col min="6" max="6" width="34" customWidth="1"/>
    <col min="7" max="7" width="29" customWidth="1"/>
    <col min="8" max="8" width="33" customWidth="1"/>
    <col min="9" max="9" width="31" customWidth="1"/>
    <col min="10" max="10" width="34" customWidth="1"/>
    <col min="11" max="11" width="24" customWidth="1"/>
    <col min="12" max="12" width="41" customWidth="1"/>
    <col min="13" max="13" width="37" customWidth="1"/>
    <col min="14" max="14" width="38" customWidth="1"/>
    <col min="15" max="15" width="56" customWidth="1"/>
    <col min="16" max="16" width="38" customWidth="1"/>
    <col min="17" max="17" width="60" customWidth="1"/>
    <col min="18" max="18" width="27" customWidth="1"/>
  </cols>
  <sheetData>
    <row r="1">
      <c r="A1" t="inlineStr" s="1">
        <is>
          <t>Pilot ID</t>
        </is>
      </c>
      <c r="B1" t="inlineStr" s="1">
        <is>
          <t>Lead ID</t>
        </is>
      </c>
      <c r="C1" t="inlineStr" s="1">
        <is>
          <t>Agreed service fee INR</t>
        </is>
      </c>
      <c r="D1" t="inlineStr" s="1">
        <is>
          <t>Client accepted?</t>
        </is>
      </c>
      <c r="E1" t="inlineStr" s="1">
        <is>
          <t>Enquiry receipt and handover checked?</t>
        </is>
      </c>
      <c r="F1" t="inlineStr" s="1">
        <is>
          <t>30-day defect window reconciled?</t>
        </is>
      </c>
      <c r="G1" t="inlineStr" s="1">
        <is>
          <t>All batch records complete?</t>
        </is>
      </c>
      <c r="H1" t="inlineStr" s="1">
        <is>
          <t>Remaining support reserve hours</t>
        </is>
      </c>
      <c r="I1" t="inlineStr" s="1">
        <is>
          <t>Direct logged hours (formula)</t>
        </is>
      </c>
      <c r="J1" t="inlineStr" s="1">
        <is>
          <t>Allocated shared hours (formula)</t>
        </is>
      </c>
      <c r="K1" t="inlineStr" s="1">
        <is>
          <t>All-in hours (formula)</t>
        </is>
      </c>
      <c r="L1" t="inlineStr" s="1">
        <is>
          <t>Net service fee collected INR (formula)</t>
        </is>
      </c>
      <c r="M1" t="inlineStr" s="1">
        <is>
          <t>Direct external costs INR (formula)</t>
        </is>
      </c>
      <c r="N1" t="inlineStr" s="1">
        <is>
          <t>Allocated shared costs INR (formula)</t>
        </is>
      </c>
      <c r="O1" t="inlineStr" s="1">
        <is>
          <t>Cash contribution before labour/overhead INR (formula)</t>
        </is>
      </c>
      <c r="P1" t="inlineStr" s="1">
        <is>
          <t>Cash contribution INR/hour (formula)</t>
        </is>
      </c>
      <c r="Q1" t="inlineStr" s="1">
        <is>
          <t>After illustrative labour, before overhead/tax INR (formula)</t>
        </is>
      </c>
      <c r="R1" t="inlineStr" s="1">
        <is>
          <t>Economic status (formula)</t>
        </is>
      </c>
    </row>
    <row r="2">
      <c r="A2" t="inlineStr">
        <is>
          <t>P1</t>
        </is>
      </c>
      <c r="I2">
        <f>IF(B2="","",SUMIF(Time!$C$2:$C$501,B2,Time!$E$2:$E$501))</f>
      </c>
      <c r="J2">
        <f>IF(B2="","",(SUM(Time!$E$2:$E$501)-SUM($I$2:$I$3))/COUNTIF($B$2:$B$3,"?*"))</f>
      </c>
      <c r="K2">
        <f>IF(OR(B2="",NOT(ISNUMBER(H2))),"",I2+J2+H2)</f>
      </c>
      <c r="L2">
        <f>IF(B2="","",SUMIFS(Cash!$D$2:$D$501,Cash!$B$2:$B$501,B2,Cash!$C$2:$C$501,"Fee received")-SUMIFS(Cash!$D$2:$D$501,Cash!$B$2:$B$501,B2,Cash!$C$2:$C$501,"Fee refund"))</f>
      </c>
      <c r="M2">
        <f>IF(B2="","",SUMIFS(Cash!$D$2:$D$501,Cash!$B$2:$B$501,B2,Cash!$C$2:$C$501,"External cost"))</f>
      </c>
      <c r="N2">
        <f>IF(B2="","",(SUMIF(Cash!$C$2:$C$501,"External cost",Cash!$D$2:$D$501)-SUM($M$2:$M$3))/COUNTIF($B$2:$B$3,"?*"))</f>
      </c>
      <c r="O2">
        <f>IF(B2="","",L2-M2-N2)</f>
      </c>
      <c r="P2">
        <f>IF(OR(B2="",K2="",K2&lt;=0),"",O2/K2)</f>
      </c>
      <c r="Q2">
        <f>IF(OR(B2="",K2=""),"",O2-K2*Settings!$B$13)</f>
      </c>
      <c r="R2">
        <f>IF(B2="","Not started",IF(OR(COUNTIF($B$2:$B$3,B2)&gt;1,COUNTIF(Leads!$A$2:$A$31,B2)&lt;&gt;1,C2&lt;&gt;Settings!$B$2,COUNTIF(Time!$E$2:$E$501,"&lt;0")&gt;0,COUNTIF(Cash!$D$2:$D$501,"&lt;0")&gt;0),"Check inputs",IF(OR(D2&lt;&gt;"Yes",E2&lt;&gt;"Yes",F2&lt;&gt;"Yes",G2&lt;&gt;"Yes",NOT(ISNUMBER(H2)),H2&lt;&gt;0),"Provisional",IF(L2&lt;C2,"Await balance",IF(OR(K2&lt;=0,P2=""),"Check hours",IF(AND(K2&lt;=Settings!$B$11,P2&gt;=Settings!$B$12),"Meets guardrail","Rework scope/cost"))))))</f>
      </c>
    </row>
    <row r="3">
      <c r="A3" t="inlineStr">
        <is>
          <t>P2</t>
        </is>
      </c>
      <c r="I3">
        <f>IF(B3="","",SUMIF(Time!$C$2:$C$501,B3,Time!$E$2:$E$501))</f>
      </c>
      <c r="J3">
        <f>IF(B3="","",(SUM(Time!$E$2:$E$501)-SUM($I$2:$I$3))/COUNTIF($B$2:$B$3,"?*"))</f>
      </c>
      <c r="K3">
        <f>IF(OR(B3="",NOT(ISNUMBER(H3))),"",I3+J3+H3)</f>
      </c>
      <c r="L3">
        <f>IF(B3="","",SUMIFS(Cash!$D$2:$D$501,Cash!$B$2:$B$501,B3,Cash!$C$2:$C$501,"Fee received")-SUMIFS(Cash!$D$2:$D$501,Cash!$B$2:$B$501,B3,Cash!$C$2:$C$501,"Fee refund"))</f>
      </c>
      <c r="M3">
        <f>IF(B3="","",SUMIFS(Cash!$D$2:$D$501,Cash!$B$2:$B$501,B3,Cash!$C$2:$C$501,"External cost"))</f>
      </c>
      <c r="N3">
        <f>IF(B3="","",(SUMIF(Cash!$C$2:$C$501,"External cost",Cash!$D$2:$D$501)-SUM($M$2:$M$3))/COUNTIF($B$2:$B$3,"?*"))</f>
      </c>
      <c r="O3">
        <f>IF(B3="","",L3-M3-N3)</f>
      </c>
      <c r="P3">
        <f>IF(OR(B3="",K3="",K3&lt;=0),"",O3/K3)</f>
      </c>
      <c r="Q3">
        <f>IF(OR(B3="",K3=""),"",O3-K3*Settings!$B$13)</f>
      </c>
      <c r="R3">
        <f>IF(B3="","Not started",IF(OR(COUNTIF($B$2:$B$3,B3)&gt;1,COUNTIF(Leads!$A$2:$A$31,B3)&lt;&gt;1,C3&lt;&gt;Settings!$B$2,COUNTIF(Time!$E$2:$E$501,"&lt;0")&gt;0,COUNTIF(Cash!$D$2:$D$501,"&lt;0")&gt;0),"Check inputs",IF(OR(D3&lt;&gt;"Yes",E3&lt;&gt;"Yes",F3&lt;&gt;"Yes",G3&lt;&gt;"Yes",NOT(ISNUMBER(H3)),H3&lt;&gt;0),"Provisional",IF(L3&lt;C3,"Await balance",IF(OR(K3&lt;=0,P3=""),"Check hours",IF(AND(K3&lt;=Settings!$B$11,P3&gt;=Settings!$B$12),"Meets guardrail","Rework scope/cost"))))))</f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>
      <pane ySplit="1" topLeftCell="A2" activePane="bottomLeft" state="frozen"/>
    </sheetView>
  </sheetViews>
  <sheetFormatPr defaultRowHeight="15"/>
  <cols>
    <col min="1" max="1" width="46" customWidth="1"/>
    <col min="2" max="2" width="24" customWidth="1"/>
    <col min="3" max="3" width="60" customWidth="1"/>
  </cols>
  <sheetData>
    <row r="1">
      <c r="A1" t="inlineStr" s="1">
        <is>
          <t>Metric</t>
        </is>
      </c>
      <c r="B1" t="inlineStr" s="1">
        <is>
          <t>Value (formula)</t>
        </is>
      </c>
      <c r="C1" t="inlineStr" s="1">
        <is>
          <t>Interpretation</t>
        </is>
      </c>
    </row>
    <row r="2">
      <c r="A2" t="inlineStr">
        <is>
          <t>Named businesses</t>
        </is>
      </c>
      <c r="B2">
        <f>COUNTIF(Leads!$B$2:$B$31,"&lt;&gt;")</f>
      </c>
      <c r="C2" t="inlineStr">
        <is>
          <t>Reserved Lead IDs alone are not businesses.</t>
        </is>
      </c>
    </row>
    <row r="3">
      <c r="A3" t="inlineStr">
        <is>
          <t>Businesses contacted</t>
        </is>
      </c>
      <c r="B3">
        <f>COUNTIFS(Leads!$B$2:$B$31,"&lt;&gt;",Leads!$E$2:$E$31,"&lt;&gt;")</f>
      </c>
      <c r="C3" t="inlineStr">
        <is>
          <t>Count distinct businesses, not messages.</t>
        </is>
      </c>
    </row>
    <row r="4">
      <c r="A4" t="inlineStr">
        <is>
          <t>Substantive owner conversations</t>
        </is>
      </c>
      <c r="B4">
        <f>COUNTIFS(Leads!$B$2:$B$31,"&lt;&gt;",Leads!$F$2:$F$31,"&lt;&gt;",Leads!$G$2:$G$31,"Yes",Leads!$H$2:$H$31,"Yes")</f>
      </c>
      <c r="C4" t="inlineStr">
        <is>
          <t>Target 6; retain no-need responses.</t>
        </is>
      </c>
    </row>
    <row r="5">
      <c r="A5" t="inlineStr">
        <is>
          <t>Owner conversations with problem AND trigger</t>
        </is>
      </c>
      <c r="B5">
        <f>COUNTIFS(Leads!$B$2:$B$31,"&lt;&gt;",Leads!$F$2:$F$31,"&lt;&gt;",Leads!$G$2:$G$31,"Yes",Leads!$H$2:$H$31,"Yes",Leads!$I$2:$I$31,"Yes",Leads!$J$2:$J$31,"&lt;&gt;",Leads!$K$2:$K$31,"Yes",Leads!$L$2:$L$31,"&lt;&gt;")</f>
      </c>
      <c r="C5" t="inlineStr">
        <is>
          <t>Target 3; written incident and trigger evidence required.</t>
        </is>
      </c>
    </row>
    <row r="6">
      <c r="A6" t="inlineStr">
        <is>
          <t>A prospecting hours</t>
        </is>
      </c>
      <c r="B6">
        <f>SUMIFS(Time!$E$2:$E$501,Time!$B$2:$B$501,"A",Time!$D$2:$D$501,"Prospecting")</f>
      </c>
      <c r="C6" t="inlineStr">
        <is>
          <t>Cap 10; stage B later work is separate.</t>
        </is>
      </c>
    </row>
    <row r="7">
      <c r="A7" t="inlineStr">
        <is>
          <t>Standardized eligible offers</t>
        </is>
      </c>
      <c r="B7">
        <f>SUM(Offers!$K$2:$K$9)</f>
      </c>
      <c r="C7" t="inlineStr">
        <is>
          <t>Target 8. Inspect K=0 rows; duplicates, missing example, changed scope or price do not count.</t>
        </is>
      </c>
    </row>
    <row r="8">
      <c r="A8" t="inlineStr">
        <is>
          <t>Qualifying net deposits</t>
        </is>
      </c>
      <c r="B8">
        <f>SUM(Offers!$L$2:$L$9)</f>
      </c>
      <c r="C8" t="inlineStr">
        <is>
          <t>Target 2. Refunds reduce net receipts; promises are not payments.</t>
        </is>
      </c>
    </row>
    <row r="9">
      <c r="A9" t="inlineStr">
        <is>
          <t>Shared / unsuccessful-selling pool hours</t>
        </is>
      </c>
      <c r="B9">
        <f>SUM(Time!$E$2:$E$501)-SUM(Pilots!$I$2:$I$3)</f>
      </c>
      <c r="C9" t="inlineStr">
        <is>
          <t>Allocated equally across populated pilot slots; all batch work must be captured.</t>
        </is>
      </c>
    </row>
    <row r="10">
      <c r="A10" t="inlineStr">
        <is>
          <t>Shared / unsuccessful-selling pool costs INR</t>
        </is>
      </c>
      <c r="B10">
        <f>SUMIF(Cash!$C$2:$C$501,"External cost",Cash!$D$2:$D$501)-SUM(Pilots!$M$2:$M$3)</f>
      </c>
      <c r="C10" t="inlineStr">
        <is>
          <t>Includes non-winning leads' costs and POOL; never allocate twice.</t>
        </is>
      </c>
    </row>
    <row r="11">
      <c r="A11" t="inlineStr">
        <is>
          <t>Pilots meeting guardrails</t>
        </is>
      </c>
      <c r="B11">
        <f>COUNTIF(Pilots!$R$2:$R$3,"Meets guardrail")</f>
      </c>
      <c r="C11" t="inlineStr">
        <is>
          <t>Both required. Check completeness and support reconciliation.</t>
        </is>
      </c>
    </row>
    <row r="12">
      <c r="A12" t="inlineStr">
        <is>
          <t>A access/urgency indicator</t>
        </is>
      </c>
      <c r="B12">
        <f>IF(B6&gt;Settings!$B$10,"Review effort cap",IF(AND(B4&gt;=Settings!$B$6,B5&gt;=Settings!$B$7),"Signal reached",IF(Settings!$B$14="Yes","Stop/reassess access or need",IF(B3=0,"Not started","In progress"))))</f>
      </c>
      <c r="C12" t="inlineStr">
        <is>
          <t>At review, distinguish inaccessible owners from absent urgency. Clinics are a sequential fallback, not a parallel campaign.</t>
        </is>
      </c>
    </row>
    <row r="13">
      <c r="A13" t="inlineStr">
        <is>
          <t>B paid-demand indicator</t>
        </is>
      </c>
      <c r="B13">
        <f>IF(AND(B7&gt;=Settings!$B$8,B8&gt;=Settings!$B$9),"Paid signal reached",IF(Settings!$B$15="Yes",IF(B7&lt;Settings!$B$8,"Unresolved: too few offers","Insufficient paid signal"),IF(B7=0,"Not started","In progress")))</f>
      </c>
      <c r="C13" t="inlineStr">
        <is>
          <t>No automatic discount or scaling. Investigate refusal reasons and missing sample.</t>
        </is>
      </c>
    </row>
    <row r="14">
      <c r="A14" t="inlineStr">
        <is>
          <t>C delivery indicator</t>
        </is>
      </c>
      <c r="B14">
        <f>IF(COUNTIF(Pilots!$B$2:$B$3,"?*")=0,"Not started",IF(B11=2,"Meets pilot guardrails","Provisional / inspect Pilots"))</f>
      </c>
      <c r="C14" t="inlineStr">
        <is>
          <t>Positive status requires owner-confirmed complete records; not a verified profit claim or proof of client sales outcomes.</t>
        </is>
      </c>
    </row>
    <row r="15">
      <c r="A15" t="inlineStr">
        <is>
          <t>Negative-entry warning</t>
        </is>
      </c>
      <c r="B15">
        <f>IF(COUNTIF(Time!$E$2:$E$501,"&lt;0")+COUNTIF(Cash!$D$2:$D$501,"&lt;0")&gt;0,"Fix negative input; use refund type","No negative numeric entries")</f>
      </c>
      <c r="C15" t="inlineStr">
        <is>
          <t>This checks negatives only, not full data quality. Unknown IDs/types, omissions and duplicate events require manual review.</t>
        </is>
      </c>
    </row>
    <row r="16">
      <c r="A16" t="inlineStr">
        <is>
          <t>Decision boundary</t>
        </is>
      </c>
      <c r="B16" t="inlineStr">
        <is>
          <t>Manual review required</t>
        </is>
      </c>
      <c r="C16" t="inlineStr">
        <is>
          <t>Continue the niche only with access, urgency and paid demand. Increase acquisition only after delivery economics. Reconcile support before relying on C.</t>
        </is>
      </c>
    </row>
  </sheetData>
  <pageMargins left="0.7" right="0.7" top="0.75" bottom="0.75" header="0.3" footer="0.3"/>
</worksheet>
</file>